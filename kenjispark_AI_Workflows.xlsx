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ワークフロー一覧" sheetId="1" r:id="rId4"/>
    <sheet state="visible" name="導入チェックリスト" sheetId="2" r:id="rId5"/>
    <sheet state="visible" name="ROI試算" sheetId="3" r:id="rId6"/>
  </sheets>
  <definedNames>
    <definedName hidden="1" localSheetId="0" name="_xlnm._FilterDatabase">'AIワークフロー一覧'!$A$2:$I$17</definedName>
  </definedNames>
  <calcPr/>
  <extLst>
    <ext uri="GoogleSheetsCustomDataVersion2">
      <go:sheetsCustomData xmlns:go="http://customooxmlschemas.google.com/" r:id="rId7" roundtripDataChecksum="yLkL7GTLe8pdCsfywVbLtGIsMB5nSYTg61fDHZsmsNg="/>
    </ext>
  </extLst>
</workbook>
</file>

<file path=xl/sharedStrings.xml><?xml version="1.0" encoding="utf-8"?>
<sst xmlns="http://schemas.openxmlformats.org/spreadsheetml/2006/main" count="203" uniqueCount="159">
  <si>
    <t>No.</t>
  </si>
  <si>
    <t>カテゴリ</t>
  </si>
  <si>
    <t>ワークフロー名</t>
  </si>
  <si>
    <t>使用ツール</t>
  </si>
  <si>
    <r>
      <rPr>
        <rFont val="Arial"/>
        <b/>
        <color rgb="FFFFFFFF"/>
        <sz val="10.0"/>
      </rPr>
      <t>Before</t>
    </r>
    <r>
      <rPr>
        <rFont val="Noto Sans CJK SC"/>
        <b/>
        <color rgb="FFFFFFFF"/>
        <sz val="10.0"/>
      </rPr>
      <t>（従来）</t>
    </r>
  </si>
  <si>
    <r>
      <rPr>
        <rFont val="Arial"/>
        <b/>
        <color rgb="FFFFFFFF"/>
        <sz val="10.0"/>
      </rPr>
      <t>After</t>
    </r>
    <r>
      <rPr>
        <rFont val="Noto Sans CJK SC"/>
        <b/>
        <color rgb="FFFFFFFF"/>
        <sz val="10.0"/>
      </rPr>
      <t>（</t>
    </r>
    <r>
      <rPr>
        <rFont val="Arial"/>
        <b/>
        <color rgb="FFFFFFFF"/>
        <sz val="10.0"/>
      </rPr>
      <t>AI</t>
    </r>
    <r>
      <rPr>
        <rFont val="Noto Sans CJK SC"/>
        <b/>
        <color rgb="FFFFFFFF"/>
        <sz val="10.0"/>
      </rPr>
      <t>導入後）</t>
    </r>
  </si>
  <si>
    <t>削減率</t>
  </si>
  <si>
    <t>ステータス</t>
  </si>
  <si>
    <t>備考</t>
  </si>
  <si>
    <r>
      <rPr>
        <rFont val="Noto Sans CJK SC"/>
        <color rgb="FF333333"/>
        <sz val="10.0"/>
      </rPr>
      <t>守りの</t>
    </r>
    <r>
      <rPr>
        <rFont val="Arial"/>
        <color rgb="FF333333"/>
        <sz val="10.0"/>
      </rPr>
      <t>DX</t>
    </r>
  </si>
  <si>
    <t>法令・通達の高速検索</t>
  </si>
  <si>
    <t>NotebookLM</t>
  </si>
  <si>
    <r>
      <rPr>
        <rFont val="Noto Sans CJK SC"/>
        <color rgb="FF333333"/>
        <sz val="10.0"/>
      </rPr>
      <t>手動で法令集を調査（</t>
    </r>
    <r>
      <rPr>
        <rFont val="Arial"/>
        <color rgb="FF333333"/>
        <sz val="10.0"/>
      </rPr>
      <t>3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</si>
  <si>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NotebookLM</t>
    </r>
    <r>
      <rPr>
        <rFont val="Noto Sans CJK SC"/>
        <color rgb="FF333333"/>
        <sz val="10.0"/>
      </rPr>
      <t>に質問→引用付き回答（</t>
    </r>
    <r>
      <rPr>
        <rFont val="Arial"/>
        <color rgb="FF333333"/>
        <sz val="10.0"/>
      </rPr>
      <t>30</t>
    </r>
    <r>
      <rPr>
        <rFont val="Noto Sans CJK SC"/>
        <color rgb="FF333333"/>
        <sz val="10.0"/>
      </rPr>
      <t>分）</t>
    </r>
  </si>
  <si>
    <t>83%</t>
  </si>
  <si>
    <t>運用中</t>
  </si>
  <si>
    <r>
      <rPr>
        <rFont val="Noto Sans CJK SC"/>
        <color rgb="FF333333"/>
        <sz val="10.0"/>
      </rPr>
      <t>法令</t>
    </r>
    <r>
      <rPr>
        <rFont val="Arial"/>
        <color rgb="FF333333"/>
        <sz val="10.0"/>
      </rPr>
      <t>PDF+</t>
    </r>
    <r>
      <rPr>
        <rFont val="Noto Sans CJK SC"/>
        <color rgb="FF333333"/>
        <sz val="10.0"/>
      </rPr>
      <t>主要通達をアップロード</t>
    </r>
  </si>
  <si>
    <r>
      <rPr>
        <rFont val="Noto Sans CJK SC"/>
        <color rgb="FF333333"/>
        <sz val="10.0"/>
      </rPr>
      <t>守りの</t>
    </r>
    <r>
      <rPr>
        <rFont val="Arial"/>
        <color rgb="FF333333"/>
        <sz val="10.0"/>
      </rPr>
      <t>DX</t>
    </r>
  </si>
  <si>
    <t>就業規則チェック</t>
  </si>
  <si>
    <r>
      <rPr>
        <rFont val="Noto Sans CJK SC"/>
        <color rgb="FF333333"/>
        <sz val="10.0"/>
      </rPr>
      <t>条文を</t>
    </r>
    <r>
      <rPr>
        <rFont val="Arial"/>
        <color rgb="FF333333"/>
        <sz val="10.0"/>
      </rPr>
      <t>1</t>
    </r>
    <r>
      <rPr>
        <rFont val="Noto Sans CJK SC"/>
        <color rgb="FF333333"/>
        <sz val="10.0"/>
      </rPr>
      <t>つずつ目視確認（</t>
    </r>
    <r>
      <rPr>
        <rFont val="Arial"/>
        <color rgb="FF333333"/>
        <sz val="10.0"/>
      </rPr>
      <t>5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</si>
  <si>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が抵触箇所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代替案を提示（</t>
    </r>
    <r>
      <rPr>
        <rFont val="Arial"/>
        <color rgb="FF333333"/>
        <sz val="10.0"/>
      </rPr>
      <t>1</t>
    </r>
    <r>
      <rPr>
        <rFont val="Noto Sans CJK SC"/>
        <color rgb="FF333333"/>
        <sz val="10.0"/>
      </rPr>
      <t>時間）</t>
    </r>
  </si>
  <si>
    <t>80%</t>
  </si>
  <si>
    <t>カスタム指示でチェック観点を指定</t>
  </si>
  <si>
    <r>
      <rPr>
        <rFont val="Noto Sans CJK SC"/>
        <color rgb="FF333333"/>
        <sz val="10.0"/>
      </rPr>
      <t>守りの</t>
    </r>
    <r>
      <rPr>
        <rFont val="Arial"/>
        <color rgb="FF333333"/>
        <sz val="10.0"/>
      </rPr>
      <t>DX</t>
    </r>
  </si>
  <si>
    <r>
      <rPr>
        <rFont val="Arial"/>
        <color rgb="FF333333"/>
        <sz val="10.0"/>
      </rPr>
      <t>FAQ</t>
    </r>
    <r>
      <rPr>
        <rFont val="Noto Sans CJK SC"/>
        <color rgb="FF333333"/>
        <sz val="10.0"/>
      </rPr>
      <t>自動生成</t>
    </r>
  </si>
  <si>
    <t>NotebookLM + ChatGPT</t>
  </si>
  <si>
    <r>
      <rPr>
        <rFont val="Arial"/>
        <color rgb="FF333333"/>
        <sz val="10.0"/>
      </rPr>
      <t>Q&amp;A</t>
    </r>
    <r>
      <rPr>
        <rFont val="Noto Sans CJK SC"/>
        <color rgb="FF333333"/>
        <sz val="10.0"/>
      </rPr>
      <t>を手作業で作成（</t>
    </r>
    <r>
      <rPr>
        <rFont val="Arial"/>
        <color rgb="FF333333"/>
        <sz val="10.0"/>
      </rPr>
      <t>2</t>
    </r>
    <r>
      <rPr>
        <rFont val="Noto Sans CJK SC"/>
        <color rgb="FF333333"/>
        <sz val="10.0"/>
      </rPr>
      <t>時間</t>
    </r>
    <r>
      <rPr>
        <rFont val="Arial"/>
        <color rgb="FF333333"/>
        <sz val="10.0"/>
      </rPr>
      <t>/10</t>
    </r>
    <r>
      <rPr>
        <rFont val="Noto Sans CJK SC"/>
        <color rgb="FF333333"/>
        <sz val="10.0"/>
      </rPr>
      <t>件）</t>
    </r>
  </si>
  <si>
    <r>
      <rPr>
        <rFont val="Noto Sans CJK SC"/>
        <color rgb="FF333333"/>
        <sz val="10.0"/>
      </rPr>
      <t>就業規則から</t>
    </r>
    <r>
      <rPr>
        <rFont val="Arial"/>
        <color rgb="FF333333"/>
        <sz val="10.0"/>
      </rPr>
      <t>FAQ</t>
    </r>
    <r>
      <rPr>
        <rFont val="Noto Sans CJK SC"/>
        <color rgb="FF333333"/>
        <sz val="10.0"/>
      </rPr>
      <t>を自動生成（</t>
    </r>
    <r>
      <rPr>
        <rFont val="Arial"/>
        <color rgb="FF333333"/>
        <sz val="10.0"/>
      </rPr>
      <t>30</t>
    </r>
    <r>
      <rPr>
        <rFont val="Noto Sans CJK SC"/>
        <color rgb="FF333333"/>
        <sz val="10.0"/>
      </rPr>
      <t>分</t>
    </r>
    <r>
      <rPr>
        <rFont val="Arial"/>
        <color rgb="FF333333"/>
        <sz val="10.0"/>
      </rPr>
      <t>/20</t>
    </r>
    <r>
      <rPr>
        <rFont val="Noto Sans CJK SC"/>
        <color rgb="FF333333"/>
        <sz val="10.0"/>
      </rPr>
      <t>件）</t>
    </r>
  </si>
  <si>
    <t>75%</t>
  </si>
  <si>
    <t>生成後に専門家レビューを実施</t>
  </si>
  <si>
    <r>
      <rPr>
        <rFont val="Noto Sans CJK SC"/>
        <color rgb="FF333333"/>
        <sz val="10.0"/>
      </rPr>
      <t>守りの</t>
    </r>
    <r>
      <rPr>
        <rFont val="Arial"/>
        <color rgb="FF333333"/>
        <sz val="10.0"/>
      </rPr>
      <t>DX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</si>
  <si>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ヘルプデスク（社内問い合わせ）</t>
    </r>
  </si>
  <si>
    <r>
      <rPr>
        <rFont val="Noto Sans CJK SC"/>
        <color rgb="FF333333"/>
        <sz val="10.0"/>
      </rPr>
      <t>毎回手動で回答（</t>
    </r>
    <r>
      <rPr>
        <rFont val="Arial"/>
        <color rgb="FF333333"/>
        <sz val="10.0"/>
      </rPr>
      <t>30</t>
    </r>
    <r>
      <rPr>
        <rFont val="Noto Sans CJK SC"/>
        <color rgb="FF333333"/>
        <sz val="10.0"/>
      </rPr>
      <t>分</t>
    </r>
    <r>
      <rPr>
        <rFont val="Arial"/>
        <color rgb="FF333333"/>
        <sz val="10.0"/>
      </rPr>
      <t>/</t>
    </r>
    <r>
      <rPr>
        <rFont val="Noto Sans CJK SC"/>
        <color rgb="FF333333"/>
        <sz val="10.0"/>
      </rPr>
      <t>件）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</si>
  <si>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自動回答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エスカレーション（</t>
    </r>
    <r>
      <rPr>
        <rFont val="Arial"/>
        <color rgb="FF333333"/>
        <sz val="10.0"/>
      </rPr>
      <t>5</t>
    </r>
    <r>
      <rPr>
        <rFont val="Noto Sans CJK SC"/>
        <color rgb="FF333333"/>
        <sz val="10.0"/>
      </rPr>
      <t>分</t>
    </r>
    <r>
      <rPr>
        <rFont val="Arial"/>
        <color rgb="FF333333"/>
        <sz val="10.0"/>
      </rPr>
      <t>/</t>
    </r>
    <r>
      <rPr>
        <rFont val="Noto Sans CJK SC"/>
        <color rgb="FF333333"/>
        <sz val="10.0"/>
      </rPr>
      <t>件）</t>
    </r>
  </si>
  <si>
    <t>パイロット</t>
  </si>
  <si>
    <t>就業規則・マニュアルをナレッジベース化</t>
  </si>
  <si>
    <r>
      <rPr>
        <rFont val="Noto Sans CJK SC"/>
        <color rgb="FF333333"/>
        <sz val="10.0"/>
      </rPr>
      <t>守りの</t>
    </r>
    <r>
      <rPr>
        <rFont val="Arial"/>
        <color rgb="FF333333"/>
        <sz val="10.0"/>
      </rPr>
      <t>DX</t>
    </r>
  </si>
  <si>
    <t>助成金要件チェック</t>
  </si>
  <si>
    <r>
      <rPr>
        <rFont val="Noto Sans CJK SC"/>
        <color rgb="FF333333"/>
        <sz val="10.0"/>
      </rPr>
      <t>要件を手動で照合（</t>
    </r>
    <r>
      <rPr>
        <rFont val="Arial"/>
        <color rgb="FF333333"/>
        <sz val="10.0"/>
      </rPr>
      <t>1.5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</si>
  <si>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が要件マッチング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必要書類リスト（</t>
    </r>
    <r>
      <rPr>
        <rFont val="Arial"/>
        <color rgb="FF333333"/>
        <sz val="10.0"/>
      </rPr>
      <t>20</t>
    </r>
    <r>
      <rPr>
        <rFont val="Noto Sans CJK SC"/>
        <color rgb="FF333333"/>
        <sz val="10.0"/>
      </rPr>
      <t>分）</t>
    </r>
  </si>
  <si>
    <t>78%</t>
  </si>
  <si>
    <t>設計中</t>
  </si>
  <si>
    <t>助成金ガイドブックをアップロード</t>
  </si>
  <si>
    <r>
      <rPr>
        <rFont val="Noto Sans CJK SC"/>
        <color rgb="FF333333"/>
        <sz val="10.0"/>
      </rPr>
      <t>攻めの</t>
    </r>
    <r>
      <rPr>
        <rFont val="Arial"/>
        <color rgb="FF333333"/>
        <sz val="10.0"/>
      </rPr>
      <t>DX</t>
    </r>
  </si>
  <si>
    <t>法改正ポッドキャスト生成</t>
  </si>
  <si>
    <t>NotebookLM Studio</t>
  </si>
  <si>
    <r>
      <rPr>
        <rFont val="Noto Sans CJK SC"/>
        <color rgb="FF333333"/>
        <sz val="10.0"/>
      </rPr>
      <t>台本作成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収録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編集（</t>
    </r>
    <r>
      <rPr>
        <rFont val="Arial"/>
        <color rgb="FF333333"/>
        <sz val="10.0"/>
      </rPr>
      <t>6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</si>
  <si>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Studio</t>
    </r>
    <r>
      <rPr>
        <rFont val="Noto Sans CJK SC"/>
        <color rgb="FF333333"/>
        <sz val="10.0"/>
      </rPr>
      <t>機能で音声自動生成（</t>
    </r>
    <r>
      <rPr>
        <rFont val="Arial"/>
        <color rgb="FF333333"/>
        <sz val="10.0"/>
      </rPr>
      <t>1</t>
    </r>
    <r>
      <rPr>
        <rFont val="Noto Sans CJK SC"/>
        <color rgb="FF333333"/>
        <sz val="10.0"/>
      </rPr>
      <t>時間）</t>
    </r>
  </si>
  <si>
    <r>
      <rPr>
        <rFont val="Noto Sans CJK SC"/>
        <color rgb="FF333333"/>
        <sz val="10.0"/>
      </rPr>
      <t>月</t>
    </r>
    <r>
      <rPr>
        <rFont val="Arial"/>
        <color rgb="FF333333"/>
        <sz val="10.0"/>
      </rPr>
      <t>1</t>
    </r>
    <r>
      <rPr>
        <rFont val="Noto Sans CJK SC"/>
        <color rgb="FF333333"/>
        <sz val="10.0"/>
      </rPr>
      <t>回の法改正速報として配信</t>
    </r>
  </si>
  <si>
    <r>
      <rPr>
        <rFont val="Noto Sans CJK SC"/>
        <color rgb="FF333333"/>
        <sz val="10.0"/>
      </rPr>
      <t>攻めの</t>
    </r>
    <r>
      <rPr>
        <rFont val="Arial"/>
        <color rgb="FF333333"/>
        <sz val="10.0"/>
      </rPr>
      <t>DX</t>
    </r>
  </si>
  <si>
    <t>マインドマップ生成</t>
  </si>
  <si>
    <r>
      <rPr>
        <rFont val="Noto Sans CJK SC"/>
        <color rgb="FF333333"/>
        <sz val="10.0"/>
      </rPr>
      <t>手動でマインドマップ作成（</t>
    </r>
    <r>
      <rPr>
        <rFont val="Arial"/>
        <color rgb="FF333333"/>
        <sz val="10.0"/>
      </rPr>
      <t>2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</si>
  <si>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Studio</t>
    </r>
    <r>
      <rPr>
        <rFont val="Noto Sans CJK SC"/>
        <color rgb="FF333333"/>
        <sz val="10.0"/>
      </rPr>
      <t>機能で自動生成（</t>
    </r>
    <r>
      <rPr>
        <rFont val="Arial"/>
        <color rgb="FF333333"/>
        <sz val="10.0"/>
      </rPr>
      <t>10</t>
    </r>
    <r>
      <rPr>
        <rFont val="Noto Sans CJK SC"/>
        <color rgb="FF333333"/>
        <sz val="10.0"/>
      </rPr>
      <t>分）</t>
    </r>
  </si>
  <si>
    <t>92%</t>
  </si>
  <si>
    <t>法改正の全体像把握に活用</t>
  </si>
  <si>
    <r>
      <rPr>
        <rFont val="Noto Sans CJK SC"/>
        <color rgb="FF333333"/>
        <sz val="10.0"/>
      </rPr>
      <t>攻めの</t>
    </r>
    <r>
      <rPr>
        <rFont val="Arial"/>
        <color rgb="FF333333"/>
        <sz val="10.0"/>
      </rPr>
      <t>DX</t>
    </r>
  </si>
  <si>
    <t>セミナー台本・資料作成</t>
  </si>
  <si>
    <r>
      <rPr>
        <rFont val="Noto Sans CJK SC"/>
        <color rgb="FF333333"/>
        <sz val="10.0"/>
      </rPr>
      <t>構成検討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資料作成（</t>
    </r>
    <r>
      <rPr>
        <rFont val="Arial"/>
        <color rgb="FF333333"/>
        <sz val="10.0"/>
      </rPr>
      <t>6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</si>
  <si>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生成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人間レビュー（</t>
    </r>
    <r>
      <rPr>
        <rFont val="Arial"/>
        <color rgb="FF333333"/>
        <sz val="10.0"/>
      </rPr>
      <t>3</t>
    </r>
    <r>
      <rPr>
        <rFont val="Noto Sans CJK SC"/>
        <color rgb="FF333333"/>
        <sz val="10.0"/>
      </rPr>
      <t>時間）</t>
    </r>
  </si>
  <si>
    <t>50%</t>
  </si>
  <si>
    <r>
      <rPr>
        <rFont val="Noto Sans CJK SC"/>
        <color rgb="FF333333"/>
        <sz val="10.0"/>
      </rPr>
      <t>スライド構成は</t>
    </r>
    <r>
      <rPr>
        <rFont val="Arial"/>
        <color rgb="FF333333"/>
        <sz val="10.0"/>
      </rPr>
      <t>ChatGPT</t>
    </r>
    <r>
      <rPr>
        <rFont val="Noto Sans CJK SC"/>
        <color rgb="FF333333"/>
        <sz val="10.0"/>
      </rPr>
      <t>で生成</t>
    </r>
  </si>
  <si>
    <r>
      <rPr>
        <rFont val="Noto Sans CJK SC"/>
        <color rgb="FF333333"/>
        <sz val="10.0"/>
      </rPr>
      <t>攻めの</t>
    </r>
    <r>
      <rPr>
        <rFont val="Arial"/>
        <color rgb="FF333333"/>
        <sz val="10.0"/>
      </rPr>
      <t>DX</t>
    </r>
  </si>
  <si>
    <t>顧問先月次レポート自動生成</t>
  </si>
  <si>
    <t>n8n + ChatGPT</t>
  </si>
  <si>
    <r>
      <rPr>
        <rFont val="Noto Sans CJK SC"/>
        <color rgb="FF333333"/>
        <sz val="10.0"/>
      </rPr>
      <t>手動で情報収集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作成（</t>
    </r>
    <r>
      <rPr>
        <rFont val="Arial"/>
        <color rgb="FF333333"/>
        <sz val="10.0"/>
      </rPr>
      <t>4</t>
    </r>
    <r>
      <rPr>
        <rFont val="Noto Sans CJK SC"/>
        <color rgb="FF333333"/>
        <sz val="10.0"/>
      </rPr>
      <t>時間）</t>
    </r>
  </si>
  <si>
    <r>
      <rPr>
        <rFont val="Noto Sans CJK SC"/>
        <color rgb="FF333333"/>
        <sz val="10.0"/>
      </rPr>
      <t>自動収集</t>
    </r>
    <r>
      <rPr>
        <rFont val="Arial"/>
        <color rgb="FF333333"/>
        <sz val="10.0"/>
      </rPr>
      <t>+AI</t>
    </r>
    <r>
      <rPr>
        <rFont val="Noto Sans CJK SC"/>
        <color rgb="FF333333"/>
        <sz val="10.0"/>
      </rPr>
      <t>作成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レビュー（</t>
    </r>
    <r>
      <rPr>
        <rFont val="Arial"/>
        <color rgb="FF333333"/>
        <sz val="10.0"/>
      </rPr>
      <t>1.5</t>
    </r>
    <r>
      <rPr>
        <rFont val="Noto Sans CJK SC"/>
        <color rgb="FF333333"/>
        <sz val="10.0"/>
      </rPr>
      <t>時間）</t>
    </r>
  </si>
  <si>
    <t>63%</t>
  </si>
  <si>
    <r>
      <rPr>
        <rFont val="Arial"/>
        <color rgb="FF333333"/>
        <sz val="10.0"/>
      </rPr>
      <t>n8n</t>
    </r>
    <r>
      <rPr>
        <rFont val="Noto Sans CJK SC"/>
        <color rgb="FF333333"/>
        <sz val="10.0"/>
      </rPr>
      <t>で法改正情報を自動収集</t>
    </r>
  </si>
  <si>
    <t>自動化</t>
  </si>
  <si>
    <t>問い合わせ自動分類・振り分け</t>
  </si>
  <si>
    <t>n8n + ChatGPT + Slack</t>
  </si>
  <si>
    <r>
      <rPr>
        <rFont val="Noto Sans CJK SC"/>
        <color rgb="FF333333"/>
        <sz val="10.0"/>
      </rPr>
      <t>メール</t>
    </r>
    <r>
      <rPr>
        <rFont val="Arial"/>
        <color rgb="FF333333"/>
        <sz val="10.0"/>
      </rPr>
      <t>/Slack</t>
    </r>
    <r>
      <rPr>
        <rFont val="Noto Sans CJK SC"/>
        <color rgb="FF333333"/>
        <sz val="10.0"/>
      </rPr>
      <t>を手動確認（随時）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</si>
  <si>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が自動分類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担当者振り分け</t>
    </r>
  </si>
  <si>
    <t>70%</t>
  </si>
  <si>
    <r>
      <rPr>
        <rFont val="Noto Sans CJK SC"/>
        <color rgb="FF333333"/>
        <sz val="10.0"/>
      </rPr>
      <t>緊急度判定も</t>
    </r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が実施</t>
    </r>
  </si>
  <si>
    <t>書類ドラフト自動生成</t>
  </si>
  <si>
    <r>
      <rPr>
        <rFont val="Noto Sans CJK SC"/>
        <color rgb="FF333333"/>
        <sz val="10.0"/>
      </rPr>
      <t>テンプレートに手動入力（</t>
    </r>
    <r>
      <rPr>
        <rFont val="Arial"/>
        <color rgb="FF333333"/>
        <sz val="10.0"/>
      </rPr>
      <t>1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</si>
  <si>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ドラフト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チェックリスト（</t>
    </r>
    <r>
      <rPr>
        <rFont val="Arial"/>
        <color rgb="FF333333"/>
        <sz val="10.0"/>
      </rPr>
      <t>20</t>
    </r>
    <r>
      <rPr>
        <rFont val="Noto Sans CJK SC"/>
        <color rgb="FF333333"/>
        <sz val="10.0"/>
      </rPr>
      <t>分）</t>
    </r>
  </si>
  <si>
    <t>67%</t>
  </si>
  <si>
    <t>届出書・申請書が対象</t>
  </si>
  <si>
    <t>法改正メール自動配信</t>
  </si>
  <si>
    <t>n8n + ChatGPT + Gmail</t>
  </si>
  <si>
    <r>
      <rPr>
        <rFont val="Noto Sans CJK SC"/>
        <color rgb="FF333333"/>
        <sz val="10.0"/>
      </rPr>
      <t>情報収集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メール作成（</t>
    </r>
    <r>
      <rPr>
        <rFont val="Arial"/>
        <color rgb="FF333333"/>
        <sz val="10.0"/>
      </rPr>
      <t>2</t>
    </r>
    <r>
      <rPr>
        <rFont val="Noto Sans CJK SC"/>
        <color rgb="FF333333"/>
        <sz val="10.0"/>
      </rPr>
      <t>時間）</t>
    </r>
  </si>
  <si>
    <r>
      <rPr>
        <rFont val="Noto Sans CJK SC"/>
        <color rgb="FF333333"/>
        <sz val="10.0"/>
      </rPr>
      <t>自動収集</t>
    </r>
    <r>
      <rPr>
        <rFont val="Arial"/>
        <color rgb="FF333333"/>
        <sz val="10.0"/>
      </rPr>
      <t>+AI</t>
    </r>
    <r>
      <rPr>
        <rFont val="Noto Sans CJK SC"/>
        <color rgb="FF333333"/>
        <sz val="10.0"/>
      </rPr>
      <t>要約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自動配信（</t>
    </r>
    <r>
      <rPr>
        <rFont val="Arial"/>
        <color rgb="FF333333"/>
        <sz val="10.0"/>
      </rPr>
      <t>15</t>
    </r>
    <r>
      <rPr>
        <rFont val="Noto Sans CJK SC"/>
        <color rgb="FF333333"/>
        <sz val="10.0"/>
      </rPr>
      <t>分）</t>
    </r>
  </si>
  <si>
    <t>88%</t>
  </si>
  <si>
    <t>週次で顧問先へ自動配信</t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</si>
  <si>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業務翻訳</t>
    </r>
  </si>
  <si>
    <r>
      <rPr>
        <rFont val="Noto Sans CJK SC"/>
        <color rgb="FF333333"/>
        <sz val="10.0"/>
      </rPr>
      <t>在留資格診断</t>
    </r>
    <r>
      <rPr>
        <rFont val="Arial"/>
        <color rgb="FF333333"/>
        <sz val="10.0"/>
      </rPr>
      <t>AI</t>
    </r>
  </si>
  <si>
    <r>
      <rPr>
        <rFont val="Noto Sans CJK SC"/>
        <color rgb="FF333333"/>
        <sz val="10.0"/>
      </rPr>
      <t>要件確認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判定（</t>
    </r>
    <r>
      <rPr>
        <rFont val="Arial"/>
        <color rgb="FF333333"/>
        <sz val="10.0"/>
      </rPr>
      <t>1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</si>
  <si>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診断（</t>
    </r>
    <r>
      <rPr>
        <rFont val="Arial"/>
        <color rgb="FF333333"/>
        <sz val="10.0"/>
      </rPr>
      <t>10</t>
    </r>
    <r>
      <rPr>
        <rFont val="Noto Sans CJK SC"/>
        <color rgb="FF333333"/>
        <sz val="10.0"/>
      </rPr>
      <t>分）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専門家確認</t>
    </r>
  </si>
  <si>
    <t>入管法・基準省令をナレッジ化</t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</si>
  <si>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業務翻訳</t>
    </r>
  </si>
  <si>
    <t>労務リスクスコアリング</t>
  </si>
  <si>
    <t>ChatGPT + n8n</t>
  </si>
  <si>
    <r>
      <rPr>
        <rFont val="Noto Sans CJK SC"/>
        <color rgb="FF333333"/>
        <sz val="10.0"/>
      </rPr>
      <t>ヒアリング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リスク評価（</t>
    </r>
    <r>
      <rPr>
        <rFont val="Arial"/>
        <color rgb="FF333333"/>
        <sz val="10.0"/>
      </rPr>
      <t>3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</si>
  <si>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スコアリング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専門家レビュー（</t>
    </r>
    <r>
      <rPr>
        <rFont val="Arial"/>
        <color rgb="FF333333"/>
        <sz val="10.0"/>
      </rPr>
      <t>45</t>
    </r>
    <r>
      <rPr>
        <rFont val="Noto Sans CJK SC"/>
        <color rgb="FF333333"/>
        <sz val="10.0"/>
      </rPr>
      <t>分）</t>
    </r>
  </si>
  <si>
    <t>判断基準をデシジョンテーブル化</t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</si>
  <si>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業務翻訳</t>
    </r>
  </si>
  <si>
    <r>
      <rPr>
        <rFont val="Arial"/>
        <color rgb="FF333333"/>
        <sz val="10.0"/>
      </rPr>
      <t>CQ</t>
    </r>
    <r>
      <rPr>
        <rFont val="Noto Sans CJK SC"/>
        <color rgb="FF333333"/>
        <sz val="10.0"/>
      </rPr>
      <t>パーソナリティ診断</t>
    </r>
  </si>
  <si>
    <t>ChatGPT + React</t>
  </si>
  <si>
    <r>
      <rPr>
        <rFont val="Noto Sans CJK SC"/>
        <color rgb="FF333333"/>
        <sz val="10.0"/>
      </rPr>
      <t>紙面診断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手動集計（</t>
    </r>
    <r>
      <rPr>
        <rFont val="Arial"/>
        <color rgb="FF333333"/>
        <sz val="10.0"/>
      </rPr>
      <t>2</t>
    </r>
    <r>
      <rPr>
        <rFont val="Noto Sans CJK SC"/>
        <color rgb="FF333333"/>
        <sz val="10.0"/>
      </rPr>
      <t>時間）</t>
    </r>
  </si>
  <si>
    <r>
      <rPr>
        <rFont val="Arial"/>
        <color rgb="FF333333"/>
        <sz val="10.0"/>
      </rPr>
      <t>Web</t>
    </r>
    <r>
      <rPr>
        <rFont val="Noto Sans CJK SC"/>
        <color rgb="FF333333"/>
        <sz val="10.0"/>
      </rPr>
      <t>アプリで自動診断</t>
    </r>
    <r>
      <rPr>
        <rFont val="Arial"/>
        <color rgb="FF333333"/>
        <sz val="10.0"/>
      </rPr>
      <t>+</t>
    </r>
    <r>
      <rPr>
        <rFont val="Noto Sans CJK SC"/>
        <color rgb="FF333333"/>
        <sz val="10.0"/>
      </rPr>
      <t>レポート生成（</t>
    </r>
    <r>
      <rPr>
        <rFont val="Arial"/>
        <color rgb="FF333333"/>
        <sz val="10.0"/>
      </rPr>
      <t>5</t>
    </r>
    <r>
      <rPr>
        <rFont val="Noto Sans CJK SC"/>
        <color rgb="FF333333"/>
        <sz val="10.0"/>
      </rPr>
      <t>分）</t>
    </r>
  </si>
  <si>
    <t>96%</t>
  </si>
  <si>
    <r>
      <rPr>
        <rFont val="Arial"/>
        <color rgb="FF333333"/>
        <sz val="10.0"/>
      </rPr>
      <t>React</t>
    </r>
    <r>
      <rPr>
        <rFont val="Noto Sans CJK SC"/>
        <color rgb="FF333333"/>
        <sz val="10.0"/>
      </rPr>
      <t>フロントエンド</t>
    </r>
    <r>
      <rPr>
        <rFont val="Arial"/>
        <color rgb="FF333333"/>
        <sz val="10.0"/>
      </rPr>
      <t>+ChatGPT API</t>
    </r>
  </si>
  <si>
    <t>フェーズ</t>
  </si>
  <si>
    <t>チェック項目</t>
  </si>
  <si>
    <t>担当</t>
  </si>
  <si>
    <t>期限</t>
  </si>
  <si>
    <t>完了</t>
  </si>
  <si>
    <r>
      <rPr>
        <rFont val="Arial"/>
        <color rgb="FF333333"/>
        <sz val="10.0"/>
      </rPr>
      <t>STEP1</t>
    </r>
    <r>
      <rPr>
        <rFont val="Noto Sans CJK SC"/>
        <color rgb="FF333333"/>
        <sz val="10.0"/>
      </rPr>
      <t>：監査</t>
    </r>
  </si>
  <si>
    <r>
      <rPr>
        <rFont val="Arial"/>
        <color rgb="FF333333"/>
        <sz val="10.0"/>
      </rPr>
      <t>NotebookLM</t>
    </r>
    <r>
      <rPr>
        <rFont val="Noto Sans CJK SC"/>
        <color rgb="FF333333"/>
        <sz val="10.0"/>
      </rPr>
      <t>アカウント取得（無料</t>
    </r>
    <r>
      <rPr>
        <rFont val="Arial"/>
        <color rgb="FF333333"/>
        <sz val="10.0"/>
      </rPr>
      <t>/Pro</t>
    </r>
    <r>
      <rPr>
        <rFont val="Noto Sans CJK SC"/>
        <color rgb="FF333333"/>
        <sz val="10.0"/>
      </rPr>
      <t>）</t>
    </r>
  </si>
  <si>
    <t>☐</t>
  </si>
  <si>
    <r>
      <rPr>
        <rFont val="Arial"/>
        <color rgb="FF333333"/>
        <sz val="10.0"/>
      </rPr>
      <t>STEP1</t>
    </r>
    <r>
      <rPr>
        <rFont val="Noto Sans CJK SC"/>
        <color rgb="FF333333"/>
        <sz val="10.0"/>
      </rPr>
      <t>：監査</t>
    </r>
  </si>
  <si>
    <t>業務フローの棚卸し（全工程リスト化）</t>
  </si>
  <si>
    <r>
      <rPr>
        <rFont val="Arial"/>
        <color rgb="FF333333"/>
        <sz val="10.0"/>
      </rPr>
      <t>STEP1</t>
    </r>
    <r>
      <rPr>
        <rFont val="Noto Sans CJK SC"/>
        <color rgb="FF333333"/>
        <sz val="10.0"/>
      </rPr>
      <t>：監査</t>
    </r>
  </si>
  <si>
    <r>
      <rPr>
        <rFont val="Arial"/>
        <color rgb="FF333333"/>
        <sz val="10.0"/>
      </rPr>
      <t>AI</t>
    </r>
    <r>
      <rPr>
        <rFont val="Noto Sans CJK SC"/>
        <color rgb="FF333333"/>
        <sz val="10.0"/>
      </rPr>
      <t>化の優先順位決定（効果</t>
    </r>
    <r>
      <rPr>
        <rFont val="Arial"/>
        <color rgb="FF333333"/>
        <sz val="10.0"/>
      </rPr>
      <t>×</t>
    </r>
    <r>
      <rPr>
        <rFont val="Noto Sans CJK SC"/>
        <color rgb="FF333333"/>
        <sz val="10.0"/>
      </rPr>
      <t>難易度）</t>
    </r>
  </si>
  <si>
    <r>
      <rPr>
        <rFont val="Arial"/>
        <color rgb="FF333333"/>
        <sz val="10.0"/>
      </rPr>
      <t>STEP1</t>
    </r>
    <r>
      <rPr>
        <rFont val="Noto Sans CJK SC"/>
        <color rgb="FF333333"/>
        <sz val="10.0"/>
      </rPr>
      <t>：監査</t>
    </r>
  </si>
  <si>
    <r>
      <rPr>
        <rFont val="Noto Sans CJK SC"/>
        <color rgb="FF333333"/>
        <sz val="10.0"/>
      </rPr>
      <t>手持ち資料のフォーマット確認（</t>
    </r>
    <r>
      <rPr>
        <rFont val="Arial"/>
        <color rgb="FF333333"/>
        <sz val="10.0"/>
      </rPr>
      <t>PDF/Docs</t>
    </r>
    <r>
      <rPr>
        <rFont val="Noto Sans CJK SC"/>
        <color rgb="FF333333"/>
        <sz val="10.0"/>
      </rPr>
      <t>）</t>
    </r>
  </si>
  <si>
    <r>
      <rPr>
        <rFont val="Arial"/>
        <color rgb="FF333333"/>
        <sz val="10.0"/>
      </rPr>
      <t>STEP1</t>
    </r>
    <r>
      <rPr>
        <rFont val="Noto Sans CJK SC"/>
        <color rgb="FF333333"/>
        <sz val="10.0"/>
      </rPr>
      <t>：監査</t>
    </r>
  </si>
  <si>
    <r>
      <rPr>
        <rFont val="Arial"/>
        <color rgb="FF333333"/>
        <sz val="10.0"/>
      </rPr>
      <t>NotebookLM</t>
    </r>
    <r>
      <rPr>
        <rFont val="Noto Sans CJK SC"/>
        <color rgb="FF333333"/>
        <sz val="10.0"/>
      </rPr>
      <t>への資料アップロードテスト</t>
    </r>
  </si>
  <si>
    <r>
      <rPr>
        <rFont val="Arial"/>
        <color rgb="FF333333"/>
        <sz val="10.0"/>
      </rPr>
      <t>STEP2</t>
    </r>
    <r>
      <rPr>
        <rFont val="Noto Sans CJK SC"/>
        <color rgb="FF333333"/>
        <sz val="10.0"/>
      </rPr>
      <t>：パイロット</t>
    </r>
  </si>
  <si>
    <r>
      <rPr>
        <rFont val="Noto Sans CJK SC"/>
        <color rgb="FF333333"/>
        <sz val="10.0"/>
      </rPr>
      <t>就業規則を</t>
    </r>
    <r>
      <rPr>
        <rFont val="Arial"/>
        <color rgb="FF333333"/>
        <sz val="10.0"/>
      </rPr>
      <t>NotebookLM</t>
    </r>
    <r>
      <rPr>
        <rFont val="Noto Sans CJK SC"/>
        <color rgb="FF333333"/>
        <sz val="10.0"/>
      </rPr>
      <t>にアップロード</t>
    </r>
  </si>
  <si>
    <r>
      <rPr>
        <rFont val="Arial"/>
        <color rgb="FF333333"/>
        <sz val="10.0"/>
      </rPr>
      <t>STEP2</t>
    </r>
    <r>
      <rPr>
        <rFont val="Noto Sans CJK SC"/>
        <color rgb="FF333333"/>
        <sz val="10.0"/>
      </rPr>
      <t>：パイロット</t>
    </r>
  </si>
  <si>
    <t>カスタム指示の設計・設定</t>
  </si>
  <si>
    <r>
      <rPr>
        <rFont val="Arial"/>
        <color rgb="FF333333"/>
        <sz val="10.0"/>
      </rPr>
      <t>STEP2</t>
    </r>
    <r>
      <rPr>
        <rFont val="Noto Sans CJK SC"/>
        <color rgb="FF333333"/>
        <sz val="10.0"/>
      </rPr>
      <t>：パイロット</t>
    </r>
  </si>
  <si>
    <r>
      <rPr>
        <rFont val="Noto Sans CJK SC"/>
        <color rgb="FF333333"/>
        <sz val="10.0"/>
      </rPr>
      <t>法令検索のテスト実行（</t>
    </r>
    <r>
      <rPr>
        <rFont val="Arial"/>
        <color rgb="FF333333"/>
        <sz val="10.0"/>
      </rPr>
      <t>10</t>
    </r>
    <r>
      <rPr>
        <rFont val="Noto Sans CJK SC"/>
        <color rgb="FF333333"/>
        <sz val="10.0"/>
      </rPr>
      <t>件）</t>
    </r>
  </si>
  <si>
    <r>
      <rPr>
        <rFont val="Arial"/>
        <color rgb="FF333333"/>
        <sz val="10.0"/>
      </rPr>
      <t>STEP2</t>
    </r>
    <r>
      <rPr>
        <rFont val="Noto Sans CJK SC"/>
        <color rgb="FF333333"/>
        <sz val="10.0"/>
      </rPr>
      <t>：パイロット</t>
    </r>
  </si>
  <si>
    <t>就業規則チェックのテスト実行</t>
  </si>
  <si>
    <r>
      <rPr>
        <rFont val="Arial"/>
        <color rgb="FF333333"/>
        <sz val="10.0"/>
      </rPr>
      <t>STEP2</t>
    </r>
    <r>
      <rPr>
        <rFont val="Noto Sans CJK SC"/>
        <color rgb="FF333333"/>
        <sz val="10.0"/>
      </rPr>
      <t>：パイロット</t>
    </r>
  </si>
  <si>
    <r>
      <rPr>
        <rFont val="Arial"/>
        <color rgb="FF333333"/>
        <sz val="10.0"/>
      </rPr>
      <t>FAQ</t>
    </r>
    <r>
      <rPr>
        <rFont val="Noto Sans CJK SC"/>
        <color rgb="FF333333"/>
        <sz val="10.0"/>
      </rPr>
      <t>自動生成のテスト実行</t>
    </r>
  </si>
  <si>
    <r>
      <rPr>
        <rFont val="Arial"/>
        <color rgb="FF333333"/>
        <sz val="10.0"/>
      </rPr>
      <t>STEP2</t>
    </r>
    <r>
      <rPr>
        <rFont val="Noto Sans CJK SC"/>
        <color rgb="FF333333"/>
        <sz val="10.0"/>
      </rPr>
      <t>：パイロット</t>
    </r>
  </si>
  <si>
    <t>精度検証・カスタム指示の調整</t>
  </si>
  <si>
    <r>
      <rPr>
        <rFont val="Arial"/>
        <color rgb="FF333333"/>
        <sz val="10.0"/>
      </rPr>
      <t>STEP3</t>
    </r>
    <r>
      <rPr>
        <rFont val="Noto Sans CJK SC"/>
        <color rgb="FF333333"/>
        <sz val="10.0"/>
      </rPr>
      <t>：展開</t>
    </r>
  </si>
  <si>
    <r>
      <rPr>
        <rFont val="Arial"/>
        <color rgb="FF333333"/>
        <sz val="10.0"/>
      </rPr>
      <t>Studio</t>
    </r>
    <r>
      <rPr>
        <rFont val="Noto Sans CJK SC"/>
        <color rgb="FF333333"/>
        <sz val="10.0"/>
      </rPr>
      <t>機能による音声コンテンツ生成テスト</t>
    </r>
  </si>
  <si>
    <r>
      <rPr>
        <rFont val="Arial"/>
        <color rgb="FF333333"/>
        <sz val="10.0"/>
      </rPr>
      <t>STEP3</t>
    </r>
    <r>
      <rPr>
        <rFont val="Noto Sans CJK SC"/>
        <color rgb="FF333333"/>
        <sz val="10.0"/>
      </rPr>
      <t>：展開</t>
    </r>
  </si>
  <si>
    <r>
      <rPr>
        <rFont val="Arial"/>
        <color rgb="FF333333"/>
        <sz val="10.0"/>
      </rPr>
      <t>n8n</t>
    </r>
    <r>
      <rPr>
        <rFont val="Noto Sans CJK SC"/>
        <color rgb="FF333333"/>
        <sz val="10.0"/>
      </rPr>
      <t>ワークフローの設計</t>
    </r>
  </si>
  <si>
    <r>
      <rPr>
        <rFont val="Arial"/>
        <color rgb="FF333333"/>
        <sz val="10.0"/>
      </rPr>
      <t>STEP3</t>
    </r>
    <r>
      <rPr>
        <rFont val="Noto Sans CJK SC"/>
        <color rgb="FF333333"/>
        <sz val="10.0"/>
      </rPr>
      <t>：展開</t>
    </r>
  </si>
  <si>
    <r>
      <rPr>
        <rFont val="Arial"/>
        <color rgb="FF333333"/>
        <sz val="10.0"/>
      </rPr>
      <t>ChatGPT API</t>
    </r>
    <r>
      <rPr>
        <rFont val="Noto Sans CJK SC"/>
        <color rgb="FF333333"/>
        <sz val="10.0"/>
      </rPr>
      <t>連携のセットアップ</t>
    </r>
  </si>
  <si>
    <r>
      <rPr>
        <rFont val="Arial"/>
        <color rgb="FF333333"/>
        <sz val="10.0"/>
      </rPr>
      <t>STEP3</t>
    </r>
    <r>
      <rPr>
        <rFont val="Noto Sans CJK SC"/>
        <color rgb="FF333333"/>
        <sz val="10.0"/>
      </rPr>
      <t>：展開</t>
    </r>
  </si>
  <si>
    <t>顧問先レポート自動生成のテスト</t>
  </si>
  <si>
    <r>
      <rPr>
        <rFont val="Arial"/>
        <color rgb="FF333333"/>
        <sz val="10.0"/>
      </rPr>
      <t>STEP3</t>
    </r>
    <r>
      <rPr>
        <rFont val="Noto Sans CJK SC"/>
        <color rgb="FF333333"/>
        <sz val="10.0"/>
      </rPr>
      <t>：展開</t>
    </r>
  </si>
  <si>
    <t>運用フロー・更新手順の確立</t>
  </si>
  <si>
    <r>
      <rPr>
        <rFont val="Arial"/>
        <color rgb="FF333333"/>
        <sz val="10.0"/>
      </rPr>
      <t>STEP3</t>
    </r>
    <r>
      <rPr>
        <rFont val="Noto Sans CJK SC"/>
        <color rgb="FF333333"/>
        <sz val="10.0"/>
      </rPr>
      <t>：展開</t>
    </r>
  </si>
  <si>
    <t>チーム内共有・トレーニング</t>
  </si>
  <si>
    <r>
      <rPr>
        <rFont val="Arial"/>
        <b/>
        <color rgb="FF1A1A1A"/>
        <sz val="14.0"/>
      </rPr>
      <t>kenjispark AI</t>
    </r>
    <r>
      <rPr>
        <rFont val="Noto Sans CJK SC"/>
        <b/>
        <color rgb="FF1A1A1A"/>
        <sz val="14.0"/>
      </rPr>
      <t xml:space="preserve">導入 </t>
    </r>
    <r>
      <rPr>
        <rFont val="Arial"/>
        <b/>
        <color rgb="FF1A1A1A"/>
        <sz val="14.0"/>
      </rPr>
      <t>ROI</t>
    </r>
    <r>
      <rPr>
        <rFont val="Noto Sans CJK SC"/>
        <b/>
        <color rgb="FF1A1A1A"/>
        <sz val="14.0"/>
      </rPr>
      <t>試算シート</t>
    </r>
  </si>
  <si>
    <t>項目</t>
  </si>
  <si>
    <r>
      <rPr>
        <rFont val="Arial"/>
        <b/>
        <color rgb="FFFFFFFF"/>
        <sz val="10.0"/>
      </rPr>
      <t>Before</t>
    </r>
    <r>
      <rPr>
        <rFont val="Noto Sans CJK SC"/>
        <b/>
        <color rgb="FFFFFFFF"/>
        <sz val="10.0"/>
      </rPr>
      <t>（時間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月）</t>
    </r>
  </si>
  <si>
    <r>
      <rPr>
        <rFont val="Arial"/>
        <b/>
        <color rgb="FFFFFFFF"/>
        <sz val="10.0"/>
      </rPr>
      <t>After</t>
    </r>
    <r>
      <rPr>
        <rFont val="Noto Sans CJK SC"/>
        <b/>
        <color rgb="FFFFFFFF"/>
        <sz val="10.0"/>
      </rPr>
      <t>（時間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月）</t>
    </r>
  </si>
  <si>
    <r>
      <rPr>
        <rFont val="Noto Sans CJK SC"/>
        <b/>
        <color rgb="FFFFFFFF"/>
        <sz val="10.0"/>
      </rPr>
      <t>削減時間（時間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月）</t>
    </r>
  </si>
  <si>
    <t>時間単価（円）</t>
  </si>
  <si>
    <t>月間削減額（円）</t>
  </si>
  <si>
    <t>法令・通達の調査</t>
  </si>
  <si>
    <r>
      <rPr>
        <rFont val="Noto Sans CJK SC"/>
        <color rgb="FF333333"/>
        <sz val="10.0"/>
      </rPr>
      <t>労務相談・</t>
    </r>
    <r>
      <rPr>
        <rFont val="Arial"/>
        <color rgb="FF333333"/>
        <sz val="10.0"/>
      </rPr>
      <t>FAQ</t>
    </r>
    <r>
      <rPr>
        <rFont val="Noto Sans CJK SC"/>
        <color rgb="FF333333"/>
        <sz val="10.0"/>
      </rPr>
      <t>対応</t>
    </r>
  </si>
  <si>
    <t>顧問先レポート作成</t>
  </si>
  <si>
    <t>セミナー準備</t>
  </si>
  <si>
    <t>問い合わせ対応</t>
  </si>
  <si>
    <t>合計</t>
  </si>
  <si>
    <r>
      <rPr>
        <rFont val="Arial"/>
        <b/>
        <color rgb="FF1A1A1A"/>
        <sz val="10.0"/>
      </rPr>
      <t>NotebookLM Pro</t>
    </r>
    <r>
      <rPr>
        <rFont val="Noto Sans CJK SC"/>
        <b/>
        <color rgb="FF1A1A1A"/>
        <sz val="10.0"/>
      </rPr>
      <t>版 月額コスト</t>
    </r>
  </si>
  <si>
    <t>月間純利益（削減額−コスト）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</si>
</sst>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FFFFFF"/>
      <name val="Noto Sans"/>
    </font>
    <font>
      <color theme="1"/>
      <name val="Calibri"/>
      <scheme val="minor"/>
    </font>
    <font>
      <sz val="10.0"/>
      <color rgb="FF333333"/>
      <name val="Arial"/>
    </font>
    <font>
      <sz val="10.0"/>
      <color rgb="FF333333"/>
      <name val="Noto Sans"/>
    </font>
    <font>
      <b/>
      <sz val="14.0"/>
      <color rgb="FF1A1A1A"/>
      <name val="Arial"/>
    </font>
    <font>
      <b/>
      <sz val="10.0"/>
      <color rgb="FF1A1A1A"/>
      <name val="Noto Sans"/>
    </font>
    <font>
      <b/>
      <sz val="10.0"/>
      <color rgb="FF1A1A1A"/>
      <name val="Arial"/>
    </font>
    <font>
      <b/>
      <sz val="12.0"/>
      <color rgb="FF0EA65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5200C"/>
        <bgColor rgb="FF85200C"/>
      </patternFill>
    </fill>
    <fill>
      <patternFill patternType="solid">
        <fgColor rgb="FFFFF5EB"/>
        <bgColor rgb="FFFFF5EB"/>
      </patternFill>
    </fill>
    <fill>
      <patternFill patternType="solid">
        <fgColor rgb="FF1A1A1A"/>
        <bgColor rgb="FF1A1A1A"/>
      </patternFill>
    </fill>
    <fill>
      <patternFill patternType="solid">
        <fgColor rgb="FFFFD08A"/>
        <bgColor rgb="FFFFD08A"/>
      </patternFill>
    </fill>
    <fill>
      <patternFill patternType="solid">
        <fgColor rgb="FFC6EFCE"/>
        <bgColor rgb="FFC6EFC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0"/>
    </xf>
    <xf borderId="2" fillId="5" fontId="1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4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2" fillId="5" fontId="2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shrinkToFit="0" vertical="bottom" wrapText="0"/>
    </xf>
    <xf borderId="2" fillId="4" fontId="4" numFmtId="164" xfId="0" applyAlignment="1" applyBorder="1" applyFont="1" applyNumberFormat="1">
      <alignment shrinkToFit="0" vertical="bottom" wrapText="0"/>
    </xf>
    <xf borderId="2" fillId="4" fontId="4" numFmtId="3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0" fontId="4" numFmtId="3" xfId="0" applyAlignment="1" applyBorder="1" applyFont="1" applyNumberFormat="1">
      <alignment shrinkToFit="0" vertical="bottom" wrapText="0"/>
    </xf>
    <xf borderId="3" fillId="6" fontId="7" numFmtId="0" xfId="0" applyAlignment="1" applyBorder="1" applyFill="1" applyFont="1">
      <alignment shrinkToFit="0" vertical="bottom" wrapText="0"/>
    </xf>
    <xf borderId="2" fillId="6" fontId="8" numFmtId="164" xfId="0" applyAlignment="1" applyBorder="1" applyFont="1" applyNumberFormat="1">
      <alignment shrinkToFit="0" vertical="bottom" wrapText="0"/>
    </xf>
    <xf borderId="2" fillId="6" fontId="8" numFmtId="0" xfId="0" applyAlignment="1" applyBorder="1" applyFont="1">
      <alignment shrinkToFit="0" vertical="bottom" wrapText="0"/>
    </xf>
    <xf borderId="2" fillId="6" fontId="8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3" fillId="7" fontId="7" numFmtId="0" xfId="0" applyAlignment="1" applyBorder="1" applyFill="1" applyFont="1">
      <alignment shrinkToFit="0" vertical="bottom" wrapText="0"/>
    </xf>
    <xf borderId="3" fillId="7" fontId="9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A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36.71"/>
    <col customWidth="1" min="4" max="4" width="31.0"/>
    <col customWidth="1" min="5" max="5" width="37.57"/>
    <col customWidth="1" min="6" max="6" width="44.57"/>
    <col customWidth="1" min="7" max="7" width="9.86"/>
    <col customWidth="1" min="8" max="8" width="14.29"/>
    <col customWidth="1" min="9" max="9" width="35.29"/>
    <col customWidth="1" min="10" max="26" width="26.14"/>
  </cols>
  <sheetData>
    <row r="1">
      <c r="A1" s="1"/>
      <c r="B1" s="2"/>
      <c r="C1" s="2"/>
      <c r="D1" s="2"/>
      <c r="E1" s="1"/>
      <c r="F1" s="1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75" customHeight="1">
      <c r="A2" s="4" t="s">
        <v>0</v>
      </c>
      <c r="B2" s="5" t="s">
        <v>1</v>
      </c>
      <c r="C2" s="5" t="s">
        <v>2</v>
      </c>
      <c r="D2" s="5" t="s">
        <v>3</v>
      </c>
      <c r="E2" s="4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75" customHeight="1">
      <c r="A3" s="6">
        <v>1.0</v>
      </c>
      <c r="B3" s="7" t="s">
        <v>9</v>
      </c>
      <c r="C3" s="7" t="s">
        <v>10</v>
      </c>
      <c r="D3" s="8" t="s">
        <v>11</v>
      </c>
      <c r="E3" s="7" t="s">
        <v>12</v>
      </c>
      <c r="F3" s="8" t="s">
        <v>13</v>
      </c>
      <c r="G3" s="8" t="s">
        <v>14</v>
      </c>
      <c r="H3" s="7" t="s">
        <v>15</v>
      </c>
      <c r="I3" s="7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75" customHeight="1">
      <c r="A4" s="9">
        <v>2.0</v>
      </c>
      <c r="B4" s="10" t="s">
        <v>17</v>
      </c>
      <c r="C4" s="10" t="s">
        <v>18</v>
      </c>
      <c r="D4" s="11" t="s">
        <v>11</v>
      </c>
      <c r="E4" s="10" t="s">
        <v>19</v>
      </c>
      <c r="F4" s="11" t="s">
        <v>20</v>
      </c>
      <c r="G4" s="11" t="s">
        <v>21</v>
      </c>
      <c r="H4" s="10" t="s">
        <v>15</v>
      </c>
      <c r="I4" s="10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75" customHeight="1">
      <c r="A5" s="6">
        <v>3.0</v>
      </c>
      <c r="B5" s="7" t="s">
        <v>23</v>
      </c>
      <c r="C5" s="8" t="s">
        <v>24</v>
      </c>
      <c r="D5" s="8" t="s">
        <v>25</v>
      </c>
      <c r="E5" s="8" t="s">
        <v>26</v>
      </c>
      <c r="F5" s="7" t="s">
        <v>27</v>
      </c>
      <c r="G5" s="8" t="s">
        <v>28</v>
      </c>
      <c r="H5" s="7" t="s">
        <v>15</v>
      </c>
      <c r="I5" s="7" t="s">
        <v>29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75" customHeight="1">
      <c r="A6" s="9">
        <v>4.0</v>
      </c>
      <c r="B6" s="10" t="s">
        <v>30</v>
      </c>
      <c r="C6" s="11" t="s">
        <v>31</v>
      </c>
      <c r="D6" s="11" t="s">
        <v>11</v>
      </c>
      <c r="E6" s="10" t="s">
        <v>32</v>
      </c>
      <c r="F6" s="11" t="s">
        <v>33</v>
      </c>
      <c r="G6" s="11" t="s">
        <v>14</v>
      </c>
      <c r="H6" s="10" t="s">
        <v>34</v>
      </c>
      <c r="I6" s="10" t="s">
        <v>35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75" customHeight="1">
      <c r="A7" s="6">
        <v>5.0</v>
      </c>
      <c r="B7" s="7" t="s">
        <v>36</v>
      </c>
      <c r="C7" s="7" t="s">
        <v>37</v>
      </c>
      <c r="D7" s="8" t="s">
        <v>11</v>
      </c>
      <c r="E7" s="7" t="s">
        <v>38</v>
      </c>
      <c r="F7" s="8" t="s">
        <v>39</v>
      </c>
      <c r="G7" s="8" t="s">
        <v>40</v>
      </c>
      <c r="H7" s="7" t="s">
        <v>41</v>
      </c>
      <c r="I7" s="7" t="s">
        <v>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75" customHeight="1">
      <c r="A8" s="9">
        <v>6.0</v>
      </c>
      <c r="B8" s="10" t="s">
        <v>43</v>
      </c>
      <c r="C8" s="10" t="s">
        <v>44</v>
      </c>
      <c r="D8" s="11" t="s">
        <v>45</v>
      </c>
      <c r="E8" s="10" t="s">
        <v>46</v>
      </c>
      <c r="F8" s="11" t="s">
        <v>47</v>
      </c>
      <c r="G8" s="11" t="s">
        <v>14</v>
      </c>
      <c r="H8" s="10" t="s">
        <v>15</v>
      </c>
      <c r="I8" s="10" t="s">
        <v>48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75" customHeight="1">
      <c r="A9" s="6">
        <v>7.0</v>
      </c>
      <c r="B9" s="7" t="s">
        <v>49</v>
      </c>
      <c r="C9" s="7" t="s">
        <v>50</v>
      </c>
      <c r="D9" s="8" t="s">
        <v>45</v>
      </c>
      <c r="E9" s="7" t="s">
        <v>51</v>
      </c>
      <c r="F9" s="8" t="s">
        <v>52</v>
      </c>
      <c r="G9" s="8" t="s">
        <v>53</v>
      </c>
      <c r="H9" s="7" t="s">
        <v>15</v>
      </c>
      <c r="I9" s="7" t="s">
        <v>54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75" customHeight="1">
      <c r="A10" s="9">
        <v>8.0</v>
      </c>
      <c r="B10" s="10" t="s">
        <v>55</v>
      </c>
      <c r="C10" s="10" t="s">
        <v>56</v>
      </c>
      <c r="D10" s="11" t="s">
        <v>25</v>
      </c>
      <c r="E10" s="10" t="s">
        <v>57</v>
      </c>
      <c r="F10" s="11" t="s">
        <v>58</v>
      </c>
      <c r="G10" s="11" t="s">
        <v>59</v>
      </c>
      <c r="H10" s="10" t="s">
        <v>15</v>
      </c>
      <c r="I10" s="10" t="s">
        <v>60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75" customHeight="1">
      <c r="A11" s="6">
        <v>9.0</v>
      </c>
      <c r="B11" s="7" t="s">
        <v>61</v>
      </c>
      <c r="C11" s="7" t="s">
        <v>62</v>
      </c>
      <c r="D11" s="8" t="s">
        <v>63</v>
      </c>
      <c r="E11" s="7" t="s">
        <v>64</v>
      </c>
      <c r="F11" s="7" t="s">
        <v>65</v>
      </c>
      <c r="G11" s="8" t="s">
        <v>66</v>
      </c>
      <c r="H11" s="7" t="s">
        <v>34</v>
      </c>
      <c r="I11" s="8" t="s">
        <v>67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75" customHeight="1">
      <c r="A12" s="9">
        <v>10.0</v>
      </c>
      <c r="B12" s="10" t="s">
        <v>68</v>
      </c>
      <c r="C12" s="10" t="s">
        <v>69</v>
      </c>
      <c r="D12" s="11" t="s">
        <v>70</v>
      </c>
      <c r="E12" s="10" t="s">
        <v>71</v>
      </c>
      <c r="F12" s="11" t="s">
        <v>72</v>
      </c>
      <c r="G12" s="11" t="s">
        <v>73</v>
      </c>
      <c r="H12" s="10" t="s">
        <v>15</v>
      </c>
      <c r="I12" s="10" t="s">
        <v>74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75" customHeight="1">
      <c r="A13" s="6">
        <v>11.0</v>
      </c>
      <c r="B13" s="7" t="s">
        <v>68</v>
      </c>
      <c r="C13" s="7" t="s">
        <v>75</v>
      </c>
      <c r="D13" s="8" t="s">
        <v>63</v>
      </c>
      <c r="E13" s="7" t="s">
        <v>76</v>
      </c>
      <c r="F13" s="8" t="s">
        <v>77</v>
      </c>
      <c r="G13" s="8" t="s">
        <v>78</v>
      </c>
      <c r="H13" s="7" t="s">
        <v>41</v>
      </c>
      <c r="I13" s="7" t="s">
        <v>79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75" customHeight="1">
      <c r="A14" s="9">
        <v>12.0</v>
      </c>
      <c r="B14" s="10" t="s">
        <v>68</v>
      </c>
      <c r="C14" s="10" t="s">
        <v>80</v>
      </c>
      <c r="D14" s="11" t="s">
        <v>81</v>
      </c>
      <c r="E14" s="10" t="s">
        <v>82</v>
      </c>
      <c r="F14" s="10" t="s">
        <v>83</v>
      </c>
      <c r="G14" s="11" t="s">
        <v>84</v>
      </c>
      <c r="H14" s="10" t="s">
        <v>15</v>
      </c>
      <c r="I14" s="10" t="s">
        <v>85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75" customHeight="1">
      <c r="A15" s="6">
        <v>13.0</v>
      </c>
      <c r="B15" s="8" t="s">
        <v>86</v>
      </c>
      <c r="C15" s="7" t="s">
        <v>87</v>
      </c>
      <c r="D15" s="8" t="s">
        <v>25</v>
      </c>
      <c r="E15" s="7" t="s">
        <v>88</v>
      </c>
      <c r="F15" s="8" t="s">
        <v>89</v>
      </c>
      <c r="G15" s="8" t="s">
        <v>14</v>
      </c>
      <c r="H15" s="7" t="s">
        <v>15</v>
      </c>
      <c r="I15" s="7" t="s">
        <v>90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75" customHeight="1">
      <c r="A16" s="9">
        <v>14.0</v>
      </c>
      <c r="B16" s="11" t="s">
        <v>91</v>
      </c>
      <c r="C16" s="10" t="s">
        <v>92</v>
      </c>
      <c r="D16" s="11" t="s">
        <v>93</v>
      </c>
      <c r="E16" s="10" t="s">
        <v>94</v>
      </c>
      <c r="F16" s="11" t="s">
        <v>95</v>
      </c>
      <c r="G16" s="11" t="s">
        <v>28</v>
      </c>
      <c r="H16" s="10" t="s">
        <v>34</v>
      </c>
      <c r="I16" s="10" t="s">
        <v>96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75" customHeight="1">
      <c r="A17" s="6">
        <v>15.0</v>
      </c>
      <c r="B17" s="8" t="s">
        <v>97</v>
      </c>
      <c r="C17" s="8" t="s">
        <v>98</v>
      </c>
      <c r="D17" s="8" t="s">
        <v>99</v>
      </c>
      <c r="E17" s="7" t="s">
        <v>100</v>
      </c>
      <c r="F17" s="8" t="s">
        <v>101</v>
      </c>
      <c r="G17" s="8" t="s">
        <v>102</v>
      </c>
      <c r="H17" s="7" t="s">
        <v>15</v>
      </c>
      <c r="I17" s="8" t="s">
        <v>103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1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autoFilter ref="$A$2:$I$17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80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.0"/>
    <col customWidth="1" min="3" max="3" width="40.0"/>
    <col customWidth="1" min="4" max="5" width="12.0"/>
    <col customWidth="1" min="6" max="6" width="8.0"/>
    <col customWidth="1" min="7" max="7" width="28.0"/>
    <col customWidth="1" min="8" max="26" width="8.71"/>
  </cols>
  <sheetData>
    <row r="1">
      <c r="A1" s="13" t="s">
        <v>104</v>
      </c>
      <c r="B1" s="14" t="s">
        <v>0</v>
      </c>
      <c r="C1" s="13" t="s">
        <v>105</v>
      </c>
      <c r="D1" s="13" t="s">
        <v>106</v>
      </c>
      <c r="E1" s="13" t="s">
        <v>107</v>
      </c>
      <c r="F1" s="13" t="s">
        <v>108</v>
      </c>
      <c r="G1" s="13" t="s">
        <v>8</v>
      </c>
    </row>
    <row r="2">
      <c r="A2" s="15" t="s">
        <v>109</v>
      </c>
      <c r="B2" s="15">
        <v>1.0</v>
      </c>
      <c r="C2" s="15" t="s">
        <v>110</v>
      </c>
      <c r="D2" s="15"/>
      <c r="E2" s="15"/>
      <c r="F2" s="15" t="s">
        <v>111</v>
      </c>
      <c r="G2" s="15"/>
    </row>
    <row r="3">
      <c r="A3" s="16" t="s">
        <v>112</v>
      </c>
      <c r="B3" s="16">
        <v>2.0</v>
      </c>
      <c r="C3" s="17" t="s">
        <v>113</v>
      </c>
      <c r="D3" s="16"/>
      <c r="E3" s="16"/>
      <c r="F3" s="16" t="s">
        <v>111</v>
      </c>
      <c r="G3" s="16"/>
    </row>
    <row r="4">
      <c r="A4" s="15" t="s">
        <v>114</v>
      </c>
      <c r="B4" s="15">
        <v>3.0</v>
      </c>
      <c r="C4" s="15" t="s">
        <v>115</v>
      </c>
      <c r="D4" s="15"/>
      <c r="E4" s="15"/>
      <c r="F4" s="15" t="s">
        <v>111</v>
      </c>
      <c r="G4" s="15"/>
    </row>
    <row r="5">
      <c r="A5" s="16" t="s">
        <v>116</v>
      </c>
      <c r="B5" s="16">
        <v>4.0</v>
      </c>
      <c r="C5" s="17" t="s">
        <v>117</v>
      </c>
      <c r="D5" s="16"/>
      <c r="E5" s="16"/>
      <c r="F5" s="16" t="s">
        <v>111</v>
      </c>
      <c r="G5" s="16"/>
    </row>
    <row r="6">
      <c r="A6" s="15" t="s">
        <v>118</v>
      </c>
      <c r="B6" s="15">
        <v>5.0</v>
      </c>
      <c r="C6" s="15" t="s">
        <v>119</v>
      </c>
      <c r="D6" s="15"/>
      <c r="E6" s="15"/>
      <c r="F6" s="15" t="s">
        <v>111</v>
      </c>
      <c r="G6" s="15"/>
    </row>
    <row r="7">
      <c r="A7" s="16" t="s">
        <v>120</v>
      </c>
      <c r="B7" s="16">
        <v>6.0</v>
      </c>
      <c r="C7" s="17" t="s">
        <v>121</v>
      </c>
      <c r="D7" s="16"/>
      <c r="E7" s="16"/>
      <c r="F7" s="16" t="s">
        <v>111</v>
      </c>
      <c r="G7" s="16"/>
    </row>
    <row r="8">
      <c r="A8" s="15" t="s">
        <v>122</v>
      </c>
      <c r="B8" s="15">
        <v>7.0</v>
      </c>
      <c r="C8" s="18" t="s">
        <v>123</v>
      </c>
      <c r="D8" s="15"/>
      <c r="E8" s="15"/>
      <c r="F8" s="15" t="s">
        <v>111</v>
      </c>
      <c r="G8" s="15"/>
    </row>
    <row r="9">
      <c r="A9" s="16" t="s">
        <v>124</v>
      </c>
      <c r="B9" s="16">
        <v>8.0</v>
      </c>
      <c r="C9" s="17" t="s">
        <v>125</v>
      </c>
      <c r="D9" s="16"/>
      <c r="E9" s="16"/>
      <c r="F9" s="16" t="s">
        <v>111</v>
      </c>
      <c r="G9" s="16"/>
    </row>
    <row r="10">
      <c r="A10" s="15" t="s">
        <v>126</v>
      </c>
      <c r="B10" s="15">
        <v>9.0</v>
      </c>
      <c r="C10" s="18" t="s">
        <v>127</v>
      </c>
      <c r="D10" s="15"/>
      <c r="E10" s="15"/>
      <c r="F10" s="15" t="s">
        <v>111</v>
      </c>
      <c r="G10" s="15"/>
    </row>
    <row r="11">
      <c r="A11" s="16" t="s">
        <v>128</v>
      </c>
      <c r="B11" s="16">
        <v>10.0</v>
      </c>
      <c r="C11" s="16" t="s">
        <v>129</v>
      </c>
      <c r="D11" s="16"/>
      <c r="E11" s="16"/>
      <c r="F11" s="16" t="s">
        <v>111</v>
      </c>
      <c r="G11" s="16"/>
    </row>
    <row r="12">
      <c r="A12" s="15" t="s">
        <v>130</v>
      </c>
      <c r="B12" s="15">
        <v>11.0</v>
      </c>
      <c r="C12" s="18" t="s">
        <v>131</v>
      </c>
      <c r="D12" s="15"/>
      <c r="E12" s="15"/>
      <c r="F12" s="15" t="s">
        <v>111</v>
      </c>
      <c r="G12" s="15"/>
    </row>
    <row r="13">
      <c r="A13" s="16" t="s">
        <v>132</v>
      </c>
      <c r="B13" s="16">
        <v>12.0</v>
      </c>
      <c r="C13" s="16" t="s">
        <v>133</v>
      </c>
      <c r="D13" s="16"/>
      <c r="E13" s="16"/>
      <c r="F13" s="16" t="s">
        <v>111</v>
      </c>
      <c r="G13" s="16"/>
    </row>
    <row r="14">
      <c r="A14" s="15" t="s">
        <v>134</v>
      </c>
      <c r="B14" s="15">
        <v>13.0</v>
      </c>
      <c r="C14" s="15" t="s">
        <v>135</v>
      </c>
      <c r="D14" s="15"/>
      <c r="E14" s="15"/>
      <c r="F14" s="15" t="s">
        <v>111</v>
      </c>
      <c r="G14" s="15"/>
    </row>
    <row r="15">
      <c r="A15" s="16" t="s">
        <v>136</v>
      </c>
      <c r="B15" s="16">
        <v>14.0</v>
      </c>
      <c r="C15" s="16" t="s">
        <v>137</v>
      </c>
      <c r="D15" s="16"/>
      <c r="E15" s="16"/>
      <c r="F15" s="16" t="s">
        <v>111</v>
      </c>
      <c r="G15" s="16"/>
    </row>
    <row r="16">
      <c r="A16" s="15" t="s">
        <v>138</v>
      </c>
      <c r="B16" s="15">
        <v>15.0</v>
      </c>
      <c r="C16" s="18" t="s">
        <v>139</v>
      </c>
      <c r="D16" s="15"/>
      <c r="E16" s="15"/>
      <c r="F16" s="15" t="s">
        <v>111</v>
      </c>
      <c r="G16" s="15"/>
    </row>
    <row r="17">
      <c r="A17" s="16" t="s">
        <v>140</v>
      </c>
      <c r="B17" s="16">
        <v>16.0</v>
      </c>
      <c r="C17" s="17" t="s">
        <v>141</v>
      </c>
      <c r="D17" s="16"/>
      <c r="E17" s="16"/>
      <c r="F17" s="16" t="s">
        <v>111</v>
      </c>
      <c r="G17" s="16"/>
    </row>
    <row r="18">
      <c r="A18" s="15" t="s">
        <v>142</v>
      </c>
      <c r="B18" s="15">
        <v>17.0</v>
      </c>
      <c r="C18" s="18" t="s">
        <v>143</v>
      </c>
      <c r="D18" s="15"/>
      <c r="E18" s="15"/>
      <c r="F18" s="15" t="s">
        <v>111</v>
      </c>
      <c r="G1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65F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6.0"/>
    <col customWidth="1" min="4" max="4" width="18.0"/>
    <col customWidth="1" min="5" max="5" width="14.0"/>
    <col customWidth="1" min="6" max="6" width="18.0"/>
    <col customWidth="1" min="7" max="26" width="8.71"/>
  </cols>
  <sheetData>
    <row r="1">
      <c r="A1" s="19" t="s">
        <v>144</v>
      </c>
    </row>
    <row r="3">
      <c r="A3" s="20" t="s">
        <v>145</v>
      </c>
      <c r="B3" s="21" t="s">
        <v>146</v>
      </c>
      <c r="C3" s="21" t="s">
        <v>147</v>
      </c>
      <c r="D3" s="20" t="s">
        <v>148</v>
      </c>
      <c r="E3" s="20" t="s">
        <v>149</v>
      </c>
      <c r="F3" s="20" t="s">
        <v>150</v>
      </c>
    </row>
    <row r="4">
      <c r="A4" s="22" t="s">
        <v>151</v>
      </c>
      <c r="B4" s="22">
        <v>12.0</v>
      </c>
      <c r="C4" s="22">
        <v>2.0</v>
      </c>
      <c r="D4" s="23">
        <f t="shared" ref="D4:D9" si="1">B4-C4</f>
        <v>10</v>
      </c>
      <c r="E4" s="22">
        <v>5000.0</v>
      </c>
      <c r="F4" s="24">
        <f t="shared" ref="F4:F9" si="2">D4*E4</f>
        <v>50000</v>
      </c>
    </row>
    <row r="5">
      <c r="A5" s="25" t="s">
        <v>18</v>
      </c>
      <c r="B5" s="25">
        <v>10.0</v>
      </c>
      <c r="C5" s="25">
        <v>2.0</v>
      </c>
      <c r="D5" s="26">
        <f t="shared" si="1"/>
        <v>8</v>
      </c>
      <c r="E5" s="25">
        <v>5000.0</v>
      </c>
      <c r="F5" s="27">
        <f t="shared" si="2"/>
        <v>40000</v>
      </c>
    </row>
    <row r="6">
      <c r="A6" s="22" t="s">
        <v>152</v>
      </c>
      <c r="B6" s="22">
        <v>8.0</v>
      </c>
      <c r="C6" s="22">
        <v>2.4</v>
      </c>
      <c r="D6" s="23">
        <f t="shared" si="1"/>
        <v>5.6</v>
      </c>
      <c r="E6" s="22">
        <v>5000.0</v>
      </c>
      <c r="F6" s="24">
        <f t="shared" si="2"/>
        <v>28000</v>
      </c>
    </row>
    <row r="7">
      <c r="A7" s="25" t="s">
        <v>153</v>
      </c>
      <c r="B7" s="25">
        <v>8.0</v>
      </c>
      <c r="C7" s="25">
        <v>3.0</v>
      </c>
      <c r="D7" s="26">
        <f t="shared" si="1"/>
        <v>5</v>
      </c>
      <c r="E7" s="25">
        <v>5000.0</v>
      </c>
      <c r="F7" s="27">
        <f t="shared" si="2"/>
        <v>25000</v>
      </c>
    </row>
    <row r="8">
      <c r="A8" s="22" t="s">
        <v>154</v>
      </c>
      <c r="B8" s="22">
        <v>6.0</v>
      </c>
      <c r="C8" s="22">
        <v>3.0</v>
      </c>
      <c r="D8" s="23">
        <f t="shared" si="1"/>
        <v>3</v>
      </c>
      <c r="E8" s="22">
        <v>5000.0</v>
      </c>
      <c r="F8" s="24">
        <f t="shared" si="2"/>
        <v>15000</v>
      </c>
    </row>
    <row r="9">
      <c r="A9" s="25" t="s">
        <v>155</v>
      </c>
      <c r="B9" s="25">
        <v>10.0</v>
      </c>
      <c r="C9" s="25">
        <v>3.0</v>
      </c>
      <c r="D9" s="26">
        <f t="shared" si="1"/>
        <v>7</v>
      </c>
      <c r="E9" s="25">
        <v>5000.0</v>
      </c>
      <c r="F9" s="27">
        <f t="shared" si="2"/>
        <v>35000</v>
      </c>
    </row>
    <row r="10">
      <c r="A10" s="28" t="s">
        <v>156</v>
      </c>
      <c r="B10" s="29">
        <f t="shared" ref="B10:D10" si="3">SUM(B4:B9)</f>
        <v>54</v>
      </c>
      <c r="C10" s="29">
        <f t="shared" si="3"/>
        <v>15.4</v>
      </c>
      <c r="D10" s="29">
        <f t="shared" si="3"/>
        <v>38.6</v>
      </c>
      <c r="E10" s="30"/>
      <c r="F10" s="31">
        <f>SUM(F4:F9)</f>
        <v>193000</v>
      </c>
    </row>
    <row r="12">
      <c r="A12" s="32" t="s">
        <v>157</v>
      </c>
      <c r="F12" s="33">
        <v>2900.0</v>
      </c>
    </row>
    <row r="13">
      <c r="A13" s="34" t="s">
        <v>158</v>
      </c>
      <c r="F13" s="35">
        <f>F10-F12</f>
        <v>190100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2026-02-17T02:22:27Z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